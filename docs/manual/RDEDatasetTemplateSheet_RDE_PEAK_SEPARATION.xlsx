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PEAK_SEPARATION/templates/template/"/>
    </mc:Choice>
  </mc:AlternateContent>
  <xr:revisionPtr revIDLastSave="0" documentId="8_{B2E2B85D-8A67-F844-89A1-16875D472CDE}" xr6:coauthVersionLast="47" xr6:coauthVersionMax="47" xr10:uidLastSave="{00000000-0000-0000-0000-000000000000}"/>
  <bookViews>
    <workbookView xWindow="43020" yWindow="432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8" l="1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9" i="6"/>
  <c r="L9" i="6"/>
  <c r="K10" i="6"/>
  <c r="L10" i="6"/>
  <c r="N23" i="8"/>
  <c r="O23" i="8"/>
  <c r="P23" i="8"/>
  <c r="K4" i="6"/>
  <c r="K11" i="6"/>
  <c r="K3" i="6"/>
  <c r="B3" i="7"/>
  <c r="B3" i="8"/>
  <c r="B5" i="7"/>
  <c r="B4" i="7"/>
  <c r="B2" i="7"/>
  <c r="B2" i="8"/>
  <c r="C2" i="10"/>
  <c r="V39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1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5" i="8" l="1"/>
  <c r="F33" i="8"/>
  <c r="G32" i="8"/>
  <c r="U39" i="8"/>
  <c r="V38" i="8"/>
  <c r="D34" i="8"/>
  <c r="F32" i="8"/>
  <c r="U38" i="8"/>
  <c r="V37" i="8"/>
  <c r="D33" i="8"/>
  <c r="G31" i="8"/>
  <c r="U37" i="8"/>
  <c r="V36" i="8"/>
  <c r="D32" i="8"/>
  <c r="F31" i="8"/>
  <c r="G39" i="8"/>
  <c r="U36" i="8"/>
  <c r="V35" i="8"/>
  <c r="L2" i="12"/>
  <c r="F39" i="8"/>
  <c r="G38" i="8"/>
  <c r="U35" i="8"/>
  <c r="V34" i="8"/>
  <c r="L36" i="12"/>
  <c r="D31" i="8"/>
  <c r="F38" i="8"/>
  <c r="G37" i="8"/>
  <c r="U34" i="8"/>
  <c r="V33" i="8"/>
  <c r="D39" i="8"/>
  <c r="F37" i="8"/>
  <c r="G36" i="8"/>
  <c r="U33" i="8"/>
  <c r="V32" i="8"/>
  <c r="D38" i="8"/>
  <c r="F36" i="8"/>
  <c r="G35" i="8"/>
  <c r="U32" i="8"/>
  <c r="D37" i="8"/>
  <c r="F35" i="8"/>
  <c r="G34" i="8"/>
  <c r="D36" i="8"/>
  <c r="F34" i="8"/>
  <c r="G33" i="8"/>
  <c r="U31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6" i="8" l="1"/>
  <c r="U47" i="8"/>
  <c r="F41" i="8"/>
  <c r="D44" i="8"/>
  <c r="V47" i="8"/>
  <c r="U48" i="8"/>
  <c r="G41" i="8"/>
  <c r="F42" i="8"/>
  <c r="D45" i="8"/>
  <c r="V48" i="8"/>
  <c r="U40" i="8"/>
  <c r="G42" i="8"/>
  <c r="F43" i="8"/>
  <c r="D46" i="8"/>
  <c r="V40" i="8"/>
  <c r="G43" i="8"/>
  <c r="F44" i="8"/>
  <c r="D47" i="8"/>
  <c r="U41" i="8"/>
  <c r="G44" i="8"/>
  <c r="F45" i="8"/>
  <c r="D48" i="8"/>
  <c r="V41" i="8"/>
  <c r="U42" i="8"/>
  <c r="G45" i="8"/>
  <c r="F46" i="8"/>
  <c r="D40" i="8"/>
  <c r="V42" i="8"/>
  <c r="U43" i="8"/>
  <c r="G46" i="8"/>
  <c r="F47" i="8"/>
  <c r="V43" i="8"/>
  <c r="U44" i="8"/>
  <c r="G47" i="8"/>
  <c r="F48" i="8"/>
  <c r="D41" i="8"/>
  <c r="V44" i="8"/>
  <c r="U45" i="8"/>
  <c r="G48" i="8"/>
  <c r="F40" i="8"/>
  <c r="D42" i="8"/>
  <c r="V45" i="8"/>
  <c r="U46" i="8"/>
  <c r="G40" i="8"/>
  <c r="D43" i="8"/>
</calcChain>
</file>

<file path=xl/sharedStrings.xml><?xml version="1.0" encoding="utf-8"?>
<sst xmlns="http://schemas.openxmlformats.org/spreadsheetml/2006/main" count="2571" uniqueCount="1542">
  <si>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</si>
  <si>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</si>
  <si>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</si>
  <si>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</si>
  <si>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</si>
  <si>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</si>
  <si>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</si>
  <si>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</si>
  <si>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</si>
  <si>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</si>
  <si>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</si>
  <si>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</si>
  <si>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</si>
  <si>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</si>
  <si>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</si>
  <si>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</si>
  <si>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</si>
  <si>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</si>
  <si>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</si>
  <si>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</si>
  <si>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</si>
  <si>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</si>
  <si>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</si>
  <si>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</si>
  <si>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</si>
  <si>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</si>
  <si>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</si>
  <si>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</si>
  <si>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</si>
  <si>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</si>
  <si>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</si>
  <si>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</si>
  <si>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</si>
  <si>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</si>
  <si>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</si>
  <si>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</si>
  <si>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</si>
  <si>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</si>
  <si>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</si>
  <si>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</si>
  <si>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</si>
  <si>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</si>
  <si>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</si>
  <si>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</si>
  <si>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</si>
  <si>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</si>
  <si>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</si>
  <si>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</si>
  <si>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</si>
  <si>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</si>
  <si>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</si>
  <si>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</si>
  <si>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</si>
  <si>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</si>
  <si>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</si>
  <si>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</si>
  <si>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</si>
  <si>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</si>
  <si>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</si>
  <si>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</si>
  <si>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</si>
  <si>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</si>
  <si>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</si>
  <si>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</si>
  <si>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</si>
  <si>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</si>
  <si>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</si>
  <si>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</si>
  <si>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</si>
  <si>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</si>
  <si>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</si>
  <si>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</si>
  <si>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</si>
  <si>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</si>
  <si>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</si>
  <si>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</si>
  <si>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</si>
  <si>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</si>
  <si>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</si>
  <si>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</si>
  <si>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</si>
  <si>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</si>
  <si>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</si>
  <si>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</si>
  <si>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</si>
  <si>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</si>
  <si>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</si>
  <si>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</si>
  <si>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</si>
  <si>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</si>
  <si>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</si>
  <si>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</si>
  <si>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</si>
  <si>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</si>
  <si>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</si>
  <si>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</si>
  <si>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</si>
  <si>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</si>
  <si>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</si>
  <si>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</si>
  <si>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</si>
  <si>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</si>
  <si>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</si>
  <si>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</si>
  <si>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</si>
  <si>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</si>
  <si>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</si>
  <si>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</si>
  <si>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</si>
  <si>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</si>
  <si>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</si>
  <si>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</si>
  <si>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</si>
  <si>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</si>
  <si>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</si>
  <si>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</si>
  <si>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</si>
  <si>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</si>
  <si>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</si>
  <si>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</si>
  <si>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</si>
  <si>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</si>
  <si>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</si>
  <si>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</si>
  <si>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</si>
  <si>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</si>
  <si>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</si>
  <si>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</si>
  <si>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</si>
  <si>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</si>
  <si>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</si>
  <si>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</si>
  <si>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</si>
  <si>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</si>
  <si>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</si>
  <si>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</si>
  <si>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</si>
  <si>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</si>
  <si>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</si>
  <si>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</si>
  <si>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</si>
  <si>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</si>
  <si>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</si>
  <si>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</si>
  <si>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</si>
  <si>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</si>
  <si>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</si>
  <si>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</si>
  <si>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</si>
  <si>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</si>
  <si>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</si>
  <si>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</si>
  <si>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</si>
  <si>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</si>
  <si>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</si>
  <si>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</si>
  <si>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</si>
  <si>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</si>
  <si>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</si>
  <si>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</si>
  <si>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</si>
  <si>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</si>
  <si>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</si>
  <si>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</si>
  <si>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</si>
  <si>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</si>
  <si>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</si>
  <si>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</si>
  <si>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</si>
  <si>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</si>
  <si>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</si>
  <si>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</si>
  <si>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</si>
  <si>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</si>
  <si>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</si>
  <si>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</si>
  <si>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</si>
  <si>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</si>
  <si>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</si>
  <si>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</si>
  <si>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</si>
  <si>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</si>
  <si>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</si>
  <si>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</si>
  <si>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</si>
  <si>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</si>
  <si>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</si>
  <si>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</si>
  <si>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</si>
  <si>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</si>
  <si>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</si>
  <si>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</si>
  <si>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</si>
  <si>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</si>
  <si>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</si>
  <si>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</si>
  <si>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</si>
  <si>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</si>
  <si>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</si>
  <si>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</si>
  <si>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</si>
  <si>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</si>
  <si>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</si>
  <si>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</si>
  <si>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</si>
  <si>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</si>
  <si>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</si>
  <si>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</si>
  <si>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</si>
  <si>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</si>
  <si>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</si>
  <si>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</si>
  <si>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</si>
  <si>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</si>
  <si>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</si>
  <si>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</si>
  <si>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</si>
  <si>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</si>
  <si>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</si>
  <si>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</si>
  <si>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</si>
  <si>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</si>
  <si>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</si>
  <si>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</si>
  <si>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</si>
  <si>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</si>
  <si>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</si>
  <si>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</si>
  <si>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</si>
  <si>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</si>
  <si>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</si>
  <si>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</si>
  <si>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</si>
  <si>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</si>
  <si>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</si>
  <si>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</si>
  <si>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</si>
  <si>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</si>
  <si>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</si>
  <si>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</si>
  <si>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</si>
  <si>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</si>
  <si>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</si>
  <si>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</si>
  <si>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</si>
  <si>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</si>
  <si>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</si>
  <si>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</si>
  <si>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</si>
  <si>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</si>
  <si>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</si>
  <si>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</si>
  <si>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</si>
  <si>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</si>
  <si>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</si>
  <si>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</si>
  <si>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</si>
  <si>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</si>
  <si>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</si>
  <si>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</si>
  <si>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</si>
  <si>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</si>
  <si>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</si>
  <si>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</si>
  <si>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</si>
  <si>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</si>
  <si>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</si>
  <si>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</si>
  <si>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</si>
  <si>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</si>
  <si>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</si>
  <si>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</si>
  <si>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</si>
  <si>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</si>
  <si>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</si>
  <si>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</si>
  <si>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</si>
  <si>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</si>
  <si>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</si>
  <si>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</si>
  <si>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</si>
  <si>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</si>
  <si>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</si>
  <si>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</si>
  <si>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</si>
  <si>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</si>
  <si>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</si>
  <si>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</si>
  <si>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</si>
  <si>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</si>
  <si>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</si>
  <si>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</si>
  <si>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</si>
  <si>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</si>
  <si>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</si>
  <si>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</si>
  <si>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</si>
  <si>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</si>
  <si>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</si>
  <si>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</si>
  <si>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</si>
  <si>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</si>
  <si>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</si>
  <si>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</si>
  <si>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</si>
  <si>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</si>
  <si>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</si>
  <si>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</si>
  <si>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</si>
  <si>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</si>
  <si>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</si>
  <si>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</si>
  <si>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</si>
  <si>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</si>
  <si>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</si>
  <si>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</si>
  <si>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</si>
  <si>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</si>
  <si>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</si>
  <si>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</si>
  <si>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</si>
  <si>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</si>
  <si>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</si>
  <si>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</si>
  <si>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</si>
  <si>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</si>
  <si>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</si>
  <si>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</si>
  <si>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</si>
  <si>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</si>
  <si>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</si>
  <si>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</si>
  <si>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</si>
  <si>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</si>
  <si>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</si>
  <si>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</si>
  <si>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</si>
  <si>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</si>
  <si>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</si>
  <si>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</si>
  <si>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</si>
  <si>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</si>
  <si>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</si>
  <si>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</si>
  <si>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</si>
  <si>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</si>
  <si>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</si>
  <si>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</si>
  <si>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</si>
  <si>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</si>
  <si>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</si>
  <si>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</si>
  <si>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</si>
  <si>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</si>
  <si>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</si>
  <si>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</si>
  <si>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</si>
  <si>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</si>
  <si>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</si>
  <si>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</si>
  <si>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</si>
  <si>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</si>
  <si>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</si>
  <si>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</si>
  <si>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</si>
  <si>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</si>
  <si>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</si>
  <si>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</si>
  <si>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</si>
  <si>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</si>
  <si>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</si>
  <si>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</si>
  <si>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</si>
  <si>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</si>
  <si>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</si>
  <si>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</si>
  <si>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</si>
  <si>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</si>
  <si>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</si>
  <si>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</si>
  <si>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</si>
  <si>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</si>
  <si>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</si>
  <si>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</si>
  <si>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</si>
  <si>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</si>
  <si>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</si>
  <si>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</si>
  <si>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</si>
  <si>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</si>
  <si>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</si>
  <si>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</si>
  <si>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</si>
  <si>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</si>
  <si>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</si>
  <si>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</si>
  <si>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</si>
  <si>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</si>
  <si>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</si>
  <si>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</si>
  <si>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</si>
  <si>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</si>
  <si>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</si>
  <si>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</si>
  <si>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</si>
  <si>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</si>
  <si>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</si>
  <si>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</si>
  <si>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</si>
  <si>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</si>
  <si>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</si>
  <si>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</si>
  <si>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</si>
  <si>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</si>
  <si>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</si>
  <si>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</si>
  <si>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</si>
  <si>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</si>
  <si>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</si>
  <si>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</si>
  <si>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</si>
  <si>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</si>
  <si>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</si>
  <si>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</si>
  <si>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</si>
  <si>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</si>
  <si>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</si>
  <si>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</si>
  <si>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</si>
  <si>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</si>
  <si>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</si>
  <si>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</si>
  <si>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</si>
  <si>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</si>
  <si>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</si>
  <si>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</si>
  <si>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</si>
  <si>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</si>
  <si>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</si>
  <si>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</si>
  <si>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</si>
  <si>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</si>
  <si>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</si>
  <si>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</si>
  <si>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</si>
  <si>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</si>
  <si>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</si>
  <si>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</si>
  <si>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</si>
  <si>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</si>
  <si>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</si>
  <si>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</si>
  <si>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</si>
  <si>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</si>
  <si>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</si>
  <si>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</si>
  <si>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</si>
  <si>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</si>
  <si>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</si>
  <si>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</si>
  <si>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</si>
  <si>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</si>
  <si>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</si>
  <si>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</si>
  <si>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</si>
  <si>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</si>
  <si>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</si>
  <si>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</si>
  <si>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</si>
  <si>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</si>
  <si>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</si>
  <si>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</si>
  <si>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</si>
  <si>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</si>
  <si>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</si>
  <si>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</si>
  <si>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</si>
  <si>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</si>
  <si>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</si>
  <si>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</si>
  <si>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</si>
  <si>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</si>
  <si>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</si>
  <si>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</si>
  <si>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</si>
  <si>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</si>
  <si>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</si>
  <si>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</si>
  <si>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</si>
  <si>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</si>
  <si>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</si>
  <si>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</si>
  <si>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</si>
  <si>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</si>
  <si>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</si>
  <si>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</si>
  <si>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</si>
  <si>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</si>
  <si>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</si>
  <si>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</si>
  <si>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</si>
  <si>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</si>
  <si>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</si>
  <si>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</si>
  <si>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</si>
  <si>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</si>
  <si>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</si>
  <si>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</si>
  <si>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</si>
  <si>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</si>
  <si>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</si>
  <si>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</si>
  <si>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</si>
  <si>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</si>
  <si>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</si>
  <si>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</si>
  <si>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</si>
  <si>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</si>
  <si>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</si>
  <si>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</si>
  <si>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</si>
  <si>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</si>
  <si>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</si>
  <si>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</si>
  <si>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</si>
  <si>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</si>
  <si>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</si>
  <si>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</si>
  <si>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</si>
  <si>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</si>
  <si>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</si>
  <si>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</si>
  <si>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</si>
  <si>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</si>
  <si>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</si>
  <si>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</si>
  <si>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</si>
  <si>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</si>
  <si>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</si>
  <si>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</si>
  <si>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</si>
  <si>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</si>
  <si>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</si>
  <si>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</si>
  <si>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</si>
  <si>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</si>
  <si>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</si>
  <si>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</si>
  <si>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</si>
  <si>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</si>
  <si>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</si>
  <si>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</si>
  <si>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</si>
  <si>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</si>
  <si>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</si>
  <si>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</si>
  <si>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</si>
  <si>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</si>
  <si>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</si>
  <si>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</si>
  <si>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</si>
  <si>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</si>
  <si>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</si>
  <si>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</si>
  <si>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</si>
  <si>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</si>
  <si>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</si>
  <si>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</si>
  <si>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</si>
  <si>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</si>
  <si>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</si>
  <si>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</si>
  <si>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</si>
  <si>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</si>
  <si>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</si>
  <si>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</si>
  <si>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</si>
  <si>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</si>
  <si>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</si>
  <si>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</si>
  <si>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</si>
  <si>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</si>
  <si>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</si>
  <si>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</si>
  <si>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</si>
  <si>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</si>
  <si>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</si>
  <si>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</si>
  <si>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</si>
  <si>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</si>
  <si>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</si>
  <si>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</si>
  <si>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</si>
  <si>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</si>
  <si>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</si>
  <si>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</si>
  <si>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</si>
  <si>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</si>
  <si>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</si>
  <si>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</si>
  <si>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</si>
  <si>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</si>
  <si>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</si>
  <si>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</si>
  <si>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</si>
  <si>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</si>
  <si>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</si>
  <si>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</si>
  <si>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</si>
  <si>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</si>
  <si>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</si>
  <si>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</si>
  <si>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</si>
  <si>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</si>
  <si>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</si>
  <si>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</si>
  <si>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</si>
  <si>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</si>
  <si>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</si>
  <si>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</si>
  <si>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</si>
  <si>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</si>
  <si>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</si>
  <si>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</si>
  <si>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</si>
  <si>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</si>
  <si>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</si>
  <si>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</si>
  <si>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</si>
  <si>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</si>
  <si>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</si>
  <si>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</si>
  <si>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</si>
  <si>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</si>
  <si>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</si>
  <si>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</si>
  <si>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</si>
  <si>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</si>
  <si>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</si>
  <si>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</si>
  <si>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</si>
  <si>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</si>
  <si>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</si>
  <si>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</si>
  <si>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</si>
  <si>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</si>
  <si>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</si>
  <si>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</si>
  <si>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</si>
  <si>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</si>
  <si>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</si>
  <si>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</si>
  <si>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</si>
  <si>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</si>
  <si>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</si>
  <si>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</si>
  <si>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</si>
  <si>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</si>
  <si>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</si>
  <si>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</si>
  <si>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</si>
  <si>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</si>
  <si>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</si>
  <si>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</si>
  <si>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</si>
  <si>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</si>
  <si>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</si>
  <si>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</si>
  <si>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</si>
  <si>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</si>
  <si>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</si>
  <si>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</si>
  <si>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</si>
  <si>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</si>
  <si>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</si>
  <si>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</si>
  <si>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</si>
  <si>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</si>
  <si>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</si>
  <si>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</si>
  <si>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</si>
  <si>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</si>
  <si>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</si>
  <si>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</si>
  <si>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</si>
  <si>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</si>
  <si>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</si>
  <si>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</si>
  <si>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</si>
  <si>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</si>
  <si>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</si>
  <si>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</si>
  <si>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</si>
  <si>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</si>
  <si>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</si>
  <si>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</si>
  <si>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</si>
  <si>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</si>
  <si>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</si>
  <si>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</si>
  <si>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</si>
  <si>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</si>
  <si>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</si>
  <si>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</si>
  <si>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</si>
  <si>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</si>
  <si>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</si>
  <si>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</si>
  <si>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</si>
  <si>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</si>
  <si>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</si>
  <si>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</si>
  <si>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</si>
  <si>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</si>
  <si>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</si>
  <si>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</si>
  <si>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</si>
  <si>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</si>
  <si>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</si>
  <si>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</si>
  <si>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</si>
  <si>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</si>
  <si>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</si>
  <si>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</si>
  <si>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</si>
  <si>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</si>
  <si>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</si>
  <si>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</si>
  <si>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</si>
  <si>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</si>
  <si>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</si>
  <si>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</si>
  <si>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</si>
  <si>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</si>
  <si>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</si>
  <si>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</si>
  <si>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</si>
  <si>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</si>
  <si>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</si>
  <si>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</si>
  <si>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</si>
  <si>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</si>
  <si>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</si>
  <si>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</si>
  <si>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</si>
  <si>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</si>
  <si>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</si>
  <si>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</si>
  <si>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</si>
  <si>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</si>
  <si>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</si>
  <si>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</si>
  <si>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</si>
  <si>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</si>
  <si>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</si>
  <si>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</si>
  <si>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</si>
  <si>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</si>
  <si>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</si>
  <si>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</si>
  <si>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</si>
  <si>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</si>
  <si>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</si>
  <si>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</si>
  <si>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</si>
  <si>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</si>
  <si>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</si>
  <si>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</si>
  <si>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</si>
  <si>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</si>
  <si>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</si>
  <si>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</si>
  <si>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</si>
  <si>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</si>
  <si>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</si>
  <si>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</si>
  <si>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</si>
  <si>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</si>
  <si>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</si>
  <si>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</si>
  <si>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</si>
  <si>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</si>
  <si>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</si>
  <si>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</si>
  <si>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</si>
  <si>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</si>
  <si>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</si>
  <si>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</si>
  <si>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</si>
  <si>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</si>
  <si>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</si>
  <si>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</si>
  <si>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</si>
  <si>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</si>
  <si>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</si>
  <si>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</si>
  <si>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</si>
  <si>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</si>
  <si>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</si>
  <si>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</si>
  <si>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</si>
  <si>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</si>
  <si>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</si>
  <si>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</si>
  <si>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</si>
  <si>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</si>
  <si>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</si>
  <si>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</si>
  <si>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</si>
  <si>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</si>
  <si>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</si>
  <si>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</si>
  <si>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</si>
  <si>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</si>
  <si>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</si>
  <si>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</si>
  <si>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</si>
  <si>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</si>
  <si>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</si>
  <si>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</si>
  <si>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</si>
  <si>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</si>
  <si>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</si>
  <si>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</si>
  <si>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</si>
  <si>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</si>
  <si>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</si>
  <si>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</si>
  <si>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</si>
  <si>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</si>
  <si>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</si>
  <si>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</si>
  <si>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</si>
  <si>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</si>
  <si>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</si>
  <si>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</si>
  <si>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</si>
  <si>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</si>
  <si>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</si>
  <si>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</si>
  <si>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</si>
  <si>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</si>
  <si>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</si>
  <si>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</si>
  <si>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</si>
  <si>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</si>
  <si>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</si>
  <si>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</si>
  <si>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</si>
  <si>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</si>
  <si>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</si>
  <si>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</si>
  <si>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</si>
  <si>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</si>
  <si>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</si>
  <si>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</si>
  <si>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</si>
  <si>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</si>
  <si>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</si>
  <si>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</si>
  <si>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</si>
  <si>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</si>
  <si>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</si>
  <si>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</si>
  <si>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</si>
  <si>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</si>
  <si>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</si>
  <si>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</si>
  <si>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</si>
  <si>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</si>
  <si>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</si>
  <si>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</si>
  <si>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</si>
  <si>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</si>
  <si>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</si>
  <si>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</si>
  <si>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</si>
  <si>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</si>
  <si>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</si>
  <si>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</si>
  <si>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</si>
  <si>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</si>
  <si>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</si>
  <si>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</si>
  <si>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</si>
  <si>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</si>
  <si>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</si>
  <si>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</si>
  <si>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</si>
  <si>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</si>
  <si>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</si>
  <si>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</si>
  <si>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</si>
  <si>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</si>
  <si>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</si>
  <si>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</si>
  <si>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</si>
  <si>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</si>
  <si>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</si>
  <si>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</si>
  <si>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</si>
  <si>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</si>
  <si>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</si>
  <si>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</si>
  <si>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</si>
  <si>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</si>
  <si>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</si>
  <si>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</si>
  <si>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</si>
  <si>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</si>
  <si>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</si>
  <si>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</si>
  <si>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</si>
  <si>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</si>
  <si>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</si>
  <si>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</si>
  <si>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</si>
  <si>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</si>
  <si>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</si>
  <si>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</si>
  <si>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</si>
  <si>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</si>
  <si>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</si>
  <si>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</si>
  <si>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</si>
  <si>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</si>
  <si>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</si>
  <si>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</si>
  <si>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</si>
  <si>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</si>
  <si>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</si>
  <si>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</si>
  <si>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</si>
  <si>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</si>
  <si>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</si>
  <si>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</si>
  <si>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</si>
  <si>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</si>
  <si>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</si>
  <si>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</si>
  <si>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</si>
  <si>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</si>
  <si>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</si>
  <si>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</si>
  <si>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</si>
  <si>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</si>
  <si>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</si>
  <si>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</si>
  <si>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</si>
  <si>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</si>
  <si>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</si>
  <si>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</si>
  <si>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</si>
  <si>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</si>
  <si>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</si>
  <si>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</si>
  <si>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</si>
  <si>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</si>
  <si>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</si>
  <si>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</si>
  <si>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</si>
  <si>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</si>
  <si>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</si>
  <si>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</si>
  <si>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</si>
  <si>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</si>
  <si>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</si>
  <si>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</si>
  <si>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</si>
  <si>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</si>
  <si>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</si>
  <si>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</si>
  <si>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</si>
  <si>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</si>
  <si>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</si>
  <si>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</si>
  <si>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</si>
  <si>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</si>
  <si>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</si>
  <si>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</si>
  <si>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</si>
  <si>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</si>
  <si>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</si>
  <si>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</si>
  <si>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</si>
  <si>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</si>
  <si>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</si>
  <si>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</si>
  <si>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</si>
  <si>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</si>
  <si>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</si>
  <si>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</si>
  <si>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</si>
  <si>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</si>
  <si>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</si>
  <si>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</si>
  <si>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</si>
  <si>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</si>
  <si>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</si>
  <si>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</si>
  <si>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</si>
  <si>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</si>
  <si>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</si>
  <si>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</si>
  <si>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</si>
  <si>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</si>
  <si>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</si>
  <si>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</si>
  <si>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</si>
  <si>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</si>
  <si>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</si>
  <si>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</si>
  <si>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</si>
  <si>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</si>
  <si>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</si>
  <si>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</si>
  <si>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</si>
  <si>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</si>
  <si>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</si>
  <si>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</si>
  <si>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</si>
  <si>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</si>
  <si>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</si>
  <si>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</si>
  <si>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</si>
  <si>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</si>
  <si>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</si>
  <si>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</si>
  <si>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</si>
  <si>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</si>
  <si>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</si>
  <si>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</si>
  <si>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</si>
  <si>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</si>
  <si>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</si>
  <si>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</si>
  <si>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</si>
  <si>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</si>
  <si>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</si>
  <si>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</si>
  <si>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</si>
  <si>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</si>
  <si>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</si>
  <si>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</si>
  <si>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</si>
  <si>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</si>
  <si>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</si>
  <si>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</si>
  <si>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</si>
  <si>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</si>
  <si>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</si>
  <si>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</si>
  <si>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</si>
  <si>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</si>
  <si>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</si>
  <si>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</si>
  <si>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</si>
  <si>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</si>
  <si>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</si>
  <si>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</si>
  <si>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</si>
  <si>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</si>
  <si>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</si>
  <si>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</si>
  <si>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</si>
  <si>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</si>
  <si>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</si>
  <si>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</si>
  <si>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</si>
  <si>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</si>
  <si>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</si>
  <si>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</si>
  <si>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</si>
  <si>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</si>
  <si>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</si>
  <si>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</si>
  <si>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</si>
  <si>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</si>
  <si>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</si>
  <si>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</si>
  <si>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</si>
  <si>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</si>
  <si>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</si>
  <si>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</si>
  <si>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</si>
  <si>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</si>
  <si>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</si>
  <si>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</si>
  <si>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</si>
  <si>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</si>
  <si>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</si>
  <si>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</si>
  <si>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</si>
  <si>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</si>
  <si>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</si>
  <si>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</si>
  <si>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</si>
  <si>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</si>
  <si>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</si>
  <si>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</si>
  <si>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</si>
  <si>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</si>
  <si>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</si>
  <si>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</si>
  <si>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</si>
  <si>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</si>
  <si>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</si>
  <si>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</si>
  <si>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</si>
  <si>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</si>
  <si>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</si>
  <si>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</si>
  <si>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</si>
  <si>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</si>
  <si>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</si>
  <si>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</si>
  <si>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</si>
  <si>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</si>
  <si>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</si>
  <si>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</si>
  <si>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</si>
  <si>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</si>
  <si>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</si>
  <si>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</si>
  <si>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</si>
  <si>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</si>
  <si>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</si>
  <si>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</si>
  <si>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</si>
  <si>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</si>
  <si>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</si>
  <si>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</si>
  <si>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</si>
  <si>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</si>
  <si>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</si>
  <si>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</si>
  <si>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</si>
  <si>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</si>
  <si>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</si>
  <si>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</si>
  <si>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</si>
  <si>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</si>
  <si>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</si>
  <si>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</si>
  <si>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</si>
  <si>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</si>
  <si>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</si>
  <si>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</si>
  <si>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</si>
  <si>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</si>
  <si>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</si>
  <si>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</si>
  <si>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</si>
  <si>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</si>
  <si>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</si>
  <si>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</si>
  <si>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</si>
  <si>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</si>
  <si>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</si>
  <si>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</si>
  <si>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</si>
  <si>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</si>
  <si>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</si>
  <si>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</si>
  <si>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</si>
  <si>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</si>
  <si>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</si>
  <si>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</si>
  <si>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</si>
  <si>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</si>
  <si>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</si>
  <si>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</si>
  <si>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</si>
  <si>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</si>
  <si>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</si>
  <si>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</si>
  <si>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</si>
  <si>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</si>
  <si>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</si>
  <si>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</si>
  <si>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</si>
  <si>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</si>
  <si>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</si>
  <si>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</si>
  <si>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</si>
  <si>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</si>
  <si>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</si>
  <si>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</si>
  <si>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</si>
  <si>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</si>
  <si>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</si>
  <si>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</si>
  <si>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</si>
  <si>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</si>
  <si>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</si>
  <si>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</si>
  <si>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</si>
  <si>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</si>
  <si>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</si>
  <si>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</si>
  <si>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</si>
  <si>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</si>
  <si>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</si>
  <si>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</si>
  <si>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</si>
  <si>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</si>
  <si>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</si>
  <si>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</si>
  <si>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</si>
  <si>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</si>
  <si>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</si>
  <si>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</si>
  <si>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</si>
  <si>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</si>
  <si>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</si>
  <si>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</si>
  <si>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</si>
  <si>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</si>
  <si>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</si>
  <si>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</si>
  <si>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</si>
  <si>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</si>
  <si>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</si>
  <si>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</si>
  <si>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</si>
  <si>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</si>
  <si>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</si>
  <si>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</si>
  <si>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</si>
  <si>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</si>
  <si>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</si>
  <si>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</si>
  <si>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</si>
  <si>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</si>
  <si>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</si>
  <si>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</si>
  <si>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</si>
  <si>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</si>
  <si>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</si>
  <si>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</si>
  <si>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</si>
  <si>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</si>
  <si>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</si>
  <si>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</si>
  <si>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</si>
  <si>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</si>
  <si>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</si>
  <si>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</si>
  <si>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</si>
  <si>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</si>
  <si>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</si>
  <si>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</si>
  <si>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</si>
  <si>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</si>
  <si>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</si>
  <si>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</si>
  <si>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</si>
  <si>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</si>
  <si>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</si>
  <si>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</si>
  <si>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</si>
  <si>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</si>
  <si>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</si>
  <si>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</si>
  <si>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</si>
  <si>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</si>
  <si>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</si>
  <si>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</si>
  <si>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</si>
  <si>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</si>
  <si>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</si>
  <si>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</si>
  <si>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</si>
  <si>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</si>
  <si>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</si>
  <si>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</si>
  <si>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</si>
  <si>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</si>
  <si>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</si>
  <si>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</si>
  <si>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</si>
  <si>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</si>
  <si>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</si>
  <si>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</si>
  <si>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</si>
  <si>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</si>
  <si>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</si>
  <si>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</si>
  <si>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</si>
  <si>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</si>
  <si>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</si>
  <si>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</si>
  <si>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</si>
  <si>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</si>
  <si>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</si>
  <si>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</si>
  <si>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</si>
  <si>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</si>
  <si>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</si>
  <si>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</si>
  <si>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</si>
  <si>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</si>
  <si>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</si>
  <si>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</si>
  <si>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</si>
  <si>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</si>
  <si>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</si>
  <si>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</si>
  <si>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</si>
  <si>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</si>
  <si>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</si>
  <si>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</si>
  <si>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</si>
  <si>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</si>
  <si>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</si>
  <si>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</si>
  <si>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</si>
  <si>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</si>
  <si>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</si>
  <si>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</si>
  <si>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</si>
  <si>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</si>
  <si>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</si>
  <si>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</si>
  <si>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</si>
  <si>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</si>
  <si>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</si>
  <si>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</si>
  <si>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</si>
  <si>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</si>
  <si>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</si>
  <si>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</si>
  <si>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</si>
  <si>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</si>
  <si>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</si>
  <si>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</si>
  <si>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</si>
  <si>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</si>
  <si>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</si>
  <si>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</si>
  <si>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</si>
  <si>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</si>
  <si>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</si>
  <si>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</si>
  <si>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</si>
  <si>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</si>
  <si>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</si>
  <si>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</si>
  <si>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</si>
  <si>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</si>
  <si>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</si>
  <si>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</si>
  <si>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</si>
  <si>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</si>
  <si>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</si>
  <si>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</si>
  <si>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</si>
  <si>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</si>
  <si>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</si>
  <si>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</si>
  <si>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</si>
  <si>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</si>
  <si>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</si>
  <si>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</si>
  <si>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</si>
  <si>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</si>
  <si>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</si>
  <si>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</si>
  <si>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</si>
  <si>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</si>
  <si>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</si>
  <si>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</si>
  <si>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</si>
  <si>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</si>
  <si>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</si>
  <si>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</si>
  <si>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</si>
  <si>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</si>
  <si>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</si>
  <si>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</si>
  <si>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</si>
  <si>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</si>
  <si>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</si>
  <si>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</si>
  <si>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</si>
  <si>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</si>
  <si>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</si>
  <si>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</si>
  <si>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</si>
  <si>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</si>
  <si>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</si>
  <si>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</si>
  <si>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</si>
  <si>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</si>
  <si>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</si>
  <si>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</si>
  <si>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</si>
  <si>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</si>
  <si>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</si>
  <si>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</si>
  <si>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</si>
  <si>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</si>
  <si>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</si>
  <si>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</si>
  <si>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</si>
  <si>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</si>
  <si>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</si>
  <si>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</si>
  <si>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</si>
  <si>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</si>
  <si>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</si>
  <si>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</si>
  <si>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</si>
  <si>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</si>
  <si>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</si>
  <si>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</si>
  <si>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</si>
  <si>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</si>
  <si>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</si>
  <si>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</si>
  <si>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</si>
  <si>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</si>
  <si>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</si>
  <si>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</si>
  <si>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</si>
  <si>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</si>
  <si>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</si>
  <si>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</si>
  <si>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</si>
  <si>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</si>
  <si>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</si>
  <si>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</si>
  <si>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</si>
  <si>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</si>
  <si>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</si>
  <si>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</si>
  <si>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</si>
  <si>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</si>
  <si>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</si>
  <si>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</si>
  <si>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</si>
  <si>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</si>
  <si>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</si>
  <si>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</si>
  <si>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</si>
  <si>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</si>
  <si>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</si>
  <si>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</si>
  <si>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</si>
  <si>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</si>
  <si>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</si>
  <si>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</si>
  <si>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</si>
  <si>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</si>
  <si>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</si>
  <si>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</si>
  <si>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</si>
  <si>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</si>
  <si>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</si>
  <si>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</si>
  <si>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</si>
  <si>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</si>
  <si>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</si>
  <si>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</si>
  <si>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</si>
  <si>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</si>
  <si>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</si>
  <si>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</si>
  <si>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</si>
  <si>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</si>
  <si>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</t>
  </si>
  <si>
    <t>試料名を記入</t>
  </si>
  <si>
    <t>実験結果を記入</t>
  </si>
  <si>
    <t>Enter material</t>
    <phoneticPr fontId="2"/>
  </si>
  <si>
    <t>Enter result of experiment</t>
    <phoneticPr fontId="2"/>
  </si>
  <si>
    <t>RDEDatasetTemplateSheet_RDE_PEAK_SEPARATION</t>
  </si>
  <si>
    <t>RDEDatasetTemplateSheet_RDE_PEAK_SEPARATION</t>
    <phoneticPr fontId="2"/>
  </si>
  <si>
    <t>標準データセットテンプレートRDE_PEAK_SEPARATION用RDEデータセットテンプレート</t>
    <rPh sb="0" eb="2">
      <t xml:space="preserve">ヒョウジュン </t>
    </rPh>
    <rPh sb="33" eb="34">
      <t>_x0000__x0000__x0002_</t>
    </rPh>
    <phoneticPr fontId="2"/>
  </si>
  <si>
    <t>model_type</t>
  </si>
  <si>
    <t>モデルの種類</t>
  </si>
  <si>
    <t>Model type</t>
  </si>
  <si>
    <t>list</t>
  </si>
  <si>
    <t>noise_type</t>
  </si>
  <si>
    <t>ノイズの種類</t>
  </si>
  <si>
    <t>Noise type</t>
  </si>
  <si>
    <t>common_data_type</t>
  </si>
  <si>
    <t>登録データタイプ</t>
  </si>
  <si>
    <t>Data type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</si>
  <si>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</si>
  <si>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</si>
  <si>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</si>
  <si>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</si>
  <si>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</si>
  <si>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</si>
  <si>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</si>
  <si>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</si>
  <si>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</si>
  <si>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calculation_calculation_method</t>
  </si>
  <si>
    <t>計算方法</t>
  </si>
  <si>
    <t>Calculation method</t>
  </si>
  <si>
    <t>calculation_supercom_or_pc</t>
  </si>
  <si>
    <t>SuperComまたはPC</t>
  </si>
  <si>
    <t>SuperCom or PC</t>
  </si>
  <si>
    <t>calculation_os</t>
  </si>
  <si>
    <t>オペレーティングシステム</t>
  </si>
  <si>
    <t>OS</t>
  </si>
  <si>
    <t>calculation_software_name</t>
  </si>
  <si>
    <t>ソフトウェア名称</t>
  </si>
  <si>
    <t>Software name</t>
  </si>
  <si>
    <t>calculation_software_version</t>
  </si>
  <si>
    <t>ソフトウェアバージョン</t>
  </si>
  <si>
    <t>Software version</t>
  </si>
  <si>
    <t>calculation_software_reference</t>
  </si>
  <si>
    <t>ソフトウェア参照</t>
  </si>
  <si>
    <t>Software reference</t>
  </si>
  <si>
    <t>calculation_operator</t>
  </si>
  <si>
    <t>計算実行者</t>
  </si>
  <si>
    <t>Operator</t>
  </si>
  <si>
    <t>calculation_calculated_date</t>
  </si>
  <si>
    <t>計算日</t>
  </si>
  <si>
    <t>Calculated date</t>
  </si>
  <si>
    <t>calculation_material_name</t>
  </si>
  <si>
    <t>calculation_key_object</t>
  </si>
  <si>
    <t>キーの配列/計算される主な物性</t>
  </si>
  <si>
    <t>Key object</t>
  </si>
  <si>
    <t>convolution voigt, pseudo voigt</t>
  </si>
  <si>
    <t>convolution voigt</t>
  </si>
  <si>
    <t>gauss, poisson</t>
  </si>
  <si>
    <t>gauss</t>
  </si>
  <si>
    <t>BIC-fitting</t>
  </si>
  <si>
    <t>experiments, informatics and data science, simulations, theory, other</t>
  </si>
  <si>
    <t>experiments</t>
  </si>
  <si>
    <t>calculation</t>
  </si>
  <si>
    <t>H. Shinotsuka, H. Yoshikawa, R. Murakami, K. Nakamura, H. Tanaka, K. Yoshihara, Automated information compression of XPS spectrum using information criteria, Journal of Electron Spectroscopy and Related Phenomena. 239 (2020) 146903. https://doi.org/10.1016/j.elspec.2019.146903.</t>
  </si>
  <si>
    <t>azure cloud</t>
  </si>
  <si>
    <t>Debian GNU/Linux 13 (trixie)</t>
  </si>
  <si>
    <t>システムで自動入力します</t>
  </si>
  <si>
    <t>Automatically entered by the system</t>
  </si>
  <si>
    <t>https://doi.org/10.1016/j.elspec.2019.146903</t>
  </si>
  <si>
    <t>RDE</t>
  </si>
  <si>
    <t>登録日から自動取得します</t>
  </si>
  <si>
    <t>Automatically get from the registration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</si>
</sst>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1476</v>
      </c>
      <c r="C1" s="22" t="s">
        <v>1384</v>
      </c>
    </row>
    <row r="2" spans="1:3" ht="18">
      <c r="A2" s="1" t="s">
        <v>1385</v>
      </c>
      <c r="B2" s="9" t="s">
        <v>1475</v>
      </c>
      <c r="C2" s="22" t="s">
        <v>1384</v>
      </c>
    </row>
    <row r="3" spans="1:3" ht="18">
      <c r="A3" s="1" t="s">
        <v>1386</v>
      </c>
      <c r="B3" s="9" t="s">
        <v>1475</v>
      </c>
      <c r="C3" s="22" t="s">
        <v>1387</v>
      </c>
    </row>
    <row r="4" spans="1:3">
      <c r="A4" s="1" t="s">
        <v>1388</v>
      </c>
      <c r="B4" s="22" t="s">
        <v>1477</v>
      </c>
      <c r="C4" s="22"/>
    </row>
    <row r="5" spans="1:3" ht="18">
      <c r="A5" s="21"/>
    </row>
    <row r="6" spans="1:3">
      <c r="A6" s="1" t="s">
        <v>1389</v>
      </c>
      <c r="B6" s="30">
        <v>46016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46016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2"/>
  <sheetViews>
    <sheetView zoomScale="85" zoomScaleNormal="85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Q4" sqref="Q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44</v>
      </c>
      <c r="C3" s="9"/>
      <c r="D3" s="5"/>
      <c r="E3" s="5"/>
      <c r="F3" s="5"/>
      <c r="G3" s="4"/>
      <c r="H3" s="4"/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44</v>
      </c>
      <c r="C4" s="9"/>
      <c r="D4" s="5"/>
      <c r="E4" s="5"/>
      <c r="F4" s="5"/>
      <c r="G4" s="4"/>
      <c r="H4" s="4"/>
      <c r="I4" s="5"/>
      <c r="J4" s="6" t="s">
        <v>4</v>
      </c>
      <c r="K4" s="23" t="str">
        <f t="shared" ref="K4:K11" si="0">_xlfn.IFS(J4="integer","integer",J4="number","number",J4="array","array",J4="boolean","boolean",TRUE,"string")</f>
        <v>string</v>
      </c>
      <c r="L4" s="23" t="str">
        <f t="shared" ref="L4:L11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44</v>
      </c>
      <c r="C5" s="9"/>
      <c r="D5" s="5"/>
      <c r="E5" s="5"/>
      <c r="F5" s="5"/>
      <c r="G5" s="4"/>
      <c r="H5" s="4"/>
      <c r="I5" s="5"/>
      <c r="J5" s="6" t="s">
        <v>4</v>
      </c>
      <c r="K5" s="23" t="str">
        <f t="shared" ref="K5:K10" si="2">_xlfn.IFS(J5="integer","integer",J5="number","number",J5="array","array",J5="boolean","boolean",TRUE,"string")</f>
        <v>string</v>
      </c>
      <c r="L5" s="23" t="str">
        <f t="shared" ref="L5:L10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44</v>
      </c>
      <c r="C6" s="9"/>
      <c r="D6" s="5"/>
      <c r="E6" s="5"/>
      <c r="F6" s="5"/>
      <c r="G6" s="4"/>
      <c r="H6" s="4"/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44</v>
      </c>
      <c r="C7" s="9"/>
      <c r="D7" s="5"/>
      <c r="E7" s="5"/>
      <c r="F7" s="5"/>
      <c r="G7" s="4"/>
      <c r="H7" s="4"/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44</v>
      </c>
      <c r="C8" s="9"/>
      <c r="D8" s="5"/>
      <c r="E8" s="5"/>
      <c r="F8" s="5"/>
      <c r="G8" s="4"/>
      <c r="H8" s="4"/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44</v>
      </c>
      <c r="C9" s="9"/>
      <c r="D9" s="5"/>
      <c r="E9" s="5"/>
      <c r="F9" s="5"/>
      <c r="G9" s="4"/>
      <c r="H9" s="4"/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44</v>
      </c>
      <c r="C10" s="9"/>
      <c r="D10" s="5"/>
      <c r="E10" s="5"/>
      <c r="F10" s="5"/>
      <c r="G10" s="4"/>
      <c r="H10" s="4"/>
      <c r="I10" s="5"/>
      <c r="J10" s="6" t="s">
        <v>4</v>
      </c>
      <c r="K10" s="23" t="str">
        <f t="shared" si="2"/>
        <v>string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44</v>
      </c>
      <c r="C11" s="9"/>
      <c r="D11" s="7"/>
      <c r="E11" s="7"/>
      <c r="F11" s="7"/>
      <c r="G11" s="6"/>
      <c r="H11" s="6"/>
      <c r="I11" s="7"/>
      <c r="J11" s="6" t="s">
        <v>4</v>
      </c>
      <c r="K11" s="23" t="str">
        <f t="shared" si="0"/>
        <v>string</v>
      </c>
      <c r="L11" s="23" t="str">
        <f t="shared" si="1"/>
        <v/>
      </c>
      <c r="M11" s="7"/>
      <c r="N11" s="7"/>
      <c r="O11" s="7"/>
      <c r="P11" s="7"/>
      <c r="Q11" s="7"/>
      <c r="R11" s="7"/>
      <c r="S11" s="8"/>
    </row>
    <row r="12" spans="1:30">
      <c r="B12" s="27"/>
    </row>
  </sheetData>
  <mergeCells count="1">
    <mergeCell ref="A3:A1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1" xr:uid="{C77DE921-00C9-402E-B063-7FE813E1C579}">
      <formula1>"ON,OFF"</formula1>
    </dataValidation>
    <dataValidation type="list" allowBlank="1" showInputMessage="1" showErrorMessage="1" sqref="Q4:Q11" xr:uid="{973D0976-273D-4B1E-AD82-53B3E7F58099}">
      <formula1>"　,TRUE"</formula1>
    </dataValidation>
    <dataValidation type="list" allowBlank="1" showInputMessage="1" showErrorMessage="1" sqref="J3:J1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8"/>
  <sheetViews>
    <sheetView zoomScaleNormal="100" workbookViewId="0">
      <pane xSplit="4" ySplit="6" topLeftCell="Q7" activePane="bottomRight" state="frozen"/>
      <selection pane="topRight" activeCell="E1" sqref="E1"/>
      <selection pane="bottomLeft" activeCell="A7" sqref="A7"/>
      <selection pane="bottomRight" activeCell="Q9" sqref="Q9:Q22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https://rde.nims.go.jp/rde/dataset-templates/RDEDatasetTemplateSheet_RDE_PEAK_SEPARATION/invoice.schema.json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標準データセットテンプレートRDE_PEAK_SEPARATION用RDEデータセットテンプレート: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1478</v>
      </c>
      <c r="E7" s="19"/>
      <c r="F7" s="15" t="s">
        <v>1479</v>
      </c>
      <c r="G7" s="15" t="s">
        <v>1480</v>
      </c>
      <c r="H7" s="12"/>
      <c r="I7" s="12"/>
      <c r="J7" s="12"/>
      <c r="K7" s="16"/>
      <c r="L7" s="7"/>
      <c r="M7" s="6" t="s">
        <v>1481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 t="s">
        <v>1525</v>
      </c>
      <c r="S7" s="12" t="s">
        <v>1526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1482</v>
      </c>
      <c r="E8" s="19"/>
      <c r="F8" s="15" t="s">
        <v>1483</v>
      </c>
      <c r="G8" s="15" t="s">
        <v>1484</v>
      </c>
      <c r="H8" s="12"/>
      <c r="I8" s="12"/>
      <c r="J8" s="12"/>
      <c r="K8" s="16"/>
      <c r="L8" s="7"/>
      <c r="M8" s="6" t="s">
        <v>1481</v>
      </c>
      <c r="N8" s="29" t="str">
        <f t="shared" ref="N8:N19" si="0">_xlfn.IFS(M8="integer","integer",M8="number","number",M8="boolean","boolean",TRUE,"string")</f>
        <v>string</v>
      </c>
      <c r="O8" s="29" t="str">
        <f t="shared" ref="O8:O19" si="1">_xlfn.IFS(M8="date","date",M8="markdown","markdown",M8="time", "time",M8="uri","uri",M8="uuid","uuid",TRUE,"")</f>
        <v/>
      </c>
      <c r="P8" s="29"/>
      <c r="Q8" s="19"/>
      <c r="R8" s="19" t="s">
        <v>1527</v>
      </c>
      <c r="S8" s="12" t="s">
        <v>1528</v>
      </c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1485</v>
      </c>
      <c r="E9" s="19"/>
      <c r="F9" s="15" t="s">
        <v>1486</v>
      </c>
      <c r="G9" s="15" t="s">
        <v>1487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 t="s">
        <v>1529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1488</v>
      </c>
      <c r="E10" s="19"/>
      <c r="F10" s="15" t="s">
        <v>1489</v>
      </c>
      <c r="G10" s="15" t="s">
        <v>1490</v>
      </c>
      <c r="H10" s="12"/>
      <c r="I10" s="12"/>
      <c r="J10" s="12"/>
      <c r="K10" s="16"/>
      <c r="L10" s="7"/>
      <c r="M10" s="6" t="s">
        <v>1481</v>
      </c>
      <c r="N10" s="29" t="str">
        <f t="shared" si="0"/>
        <v>string</v>
      </c>
      <c r="O10" s="29" t="str">
        <f t="shared" si="1"/>
        <v/>
      </c>
      <c r="P10" s="29"/>
      <c r="Q10" s="19"/>
      <c r="R10" s="19" t="s">
        <v>1530</v>
      </c>
      <c r="S10" s="12" t="s">
        <v>1531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1491</v>
      </c>
      <c r="E11" s="19"/>
      <c r="F11" s="15" t="s">
        <v>1492</v>
      </c>
      <c r="G11" s="15" t="s">
        <v>1493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 t="s">
        <v>1532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1494</v>
      </c>
      <c r="E12" s="19"/>
      <c r="F12" s="15" t="s">
        <v>1495</v>
      </c>
      <c r="G12" s="15" t="s">
        <v>1496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 t="s">
        <v>1533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1497</v>
      </c>
      <c r="E13" s="19"/>
      <c r="F13" s="15" t="s">
        <v>1498</v>
      </c>
      <c r="G13" s="15" t="s">
        <v>1499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 t="s">
        <v>1529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1404</v>
      </c>
      <c r="D14" s="18" t="s">
        <v>1500</v>
      </c>
      <c r="E14" s="19"/>
      <c r="F14" s="15" t="s">
        <v>1501</v>
      </c>
      <c r="G14" s="15" t="s">
        <v>1502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 t="s">
        <v>1534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1404</v>
      </c>
      <c r="D15" s="18" t="s">
        <v>1503</v>
      </c>
      <c r="E15" s="19"/>
      <c r="F15" s="15" t="s">
        <v>1504</v>
      </c>
      <c r="G15" s="15" t="s">
        <v>1505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 t="s">
        <v>1535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1404</v>
      </c>
      <c r="D16" s="18" t="s">
        <v>1506</v>
      </c>
      <c r="E16" s="19"/>
      <c r="F16" s="15" t="s">
        <v>1507</v>
      </c>
      <c r="G16" s="15" t="s">
        <v>1508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 t="s">
        <v>1536</v>
      </c>
      <c r="V16" s="12" t="s">
        <v>1537</v>
      </c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1404</v>
      </c>
      <c r="D17" s="18" t="s">
        <v>1509</v>
      </c>
      <c r="E17" s="19"/>
      <c r="F17" s="15" t="s">
        <v>1510</v>
      </c>
      <c r="G17" s="15" t="s">
        <v>1511</v>
      </c>
      <c r="H17" s="12"/>
      <c r="I17" s="12"/>
      <c r="J17" s="12"/>
      <c r="K17" s="16"/>
      <c r="L17" s="7"/>
      <c r="M17" s="6" t="s">
        <v>4</v>
      </c>
      <c r="N17" s="29" t="str">
        <f t="shared" si="0"/>
        <v>string</v>
      </c>
      <c r="O17" s="29" t="str">
        <f t="shared" si="1"/>
        <v/>
      </c>
      <c r="P17" s="29"/>
      <c r="Q17" s="19"/>
      <c r="R17" s="19"/>
      <c r="S17" s="12"/>
      <c r="T17" s="12"/>
      <c r="U17" s="12" t="s">
        <v>1536</v>
      </c>
      <c r="V17" s="12" t="s">
        <v>1537</v>
      </c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1404</v>
      </c>
      <c r="D18" s="18" t="s">
        <v>1512</v>
      </c>
      <c r="E18" s="19"/>
      <c r="F18" s="15" t="s">
        <v>1513</v>
      </c>
      <c r="G18" s="15" t="s">
        <v>1514</v>
      </c>
      <c r="H18" s="12"/>
      <c r="I18" s="12"/>
      <c r="J18" s="12"/>
      <c r="K18" s="16"/>
      <c r="L18" s="7"/>
      <c r="M18" s="6" t="s">
        <v>4</v>
      </c>
      <c r="N18" s="29" t="str">
        <f t="shared" si="0"/>
        <v>string</v>
      </c>
      <c r="O18" s="29" t="str">
        <f t="shared" si="1"/>
        <v/>
      </c>
      <c r="P18" s="29"/>
      <c r="Q18" s="19"/>
      <c r="R18" s="19"/>
      <c r="S18" s="12" t="s">
        <v>1538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8"/>
      <c r="B19" s="48"/>
      <c r="C19" s="3" t="s">
        <v>1404</v>
      </c>
      <c r="D19" s="18" t="s">
        <v>1515</v>
      </c>
      <c r="E19" s="19"/>
      <c r="F19" s="15" t="s">
        <v>1516</v>
      </c>
      <c r="G19" s="15" t="s">
        <v>1517</v>
      </c>
      <c r="H19" s="12"/>
      <c r="I19" s="12"/>
      <c r="J19" s="12"/>
      <c r="K19" s="16"/>
      <c r="L19" s="7"/>
      <c r="M19" s="6" t="s">
        <v>4</v>
      </c>
      <c r="N19" s="29" t="str">
        <f t="shared" si="0"/>
        <v>string</v>
      </c>
      <c r="O19" s="29" t="str">
        <f t="shared" si="1"/>
        <v/>
      </c>
      <c r="P19" s="29"/>
      <c r="Q19" s="19"/>
      <c r="R19" s="19"/>
      <c r="S19" s="12" t="s">
        <v>1539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8"/>
      <c r="B20" s="48"/>
      <c r="C20" s="3" t="s">
        <v>1404</v>
      </c>
      <c r="D20" s="18" t="s">
        <v>1518</v>
      </c>
      <c r="E20" s="19"/>
      <c r="F20" s="15" t="s">
        <v>1519</v>
      </c>
      <c r="G20" s="15" t="s">
        <v>1520</v>
      </c>
      <c r="H20" s="12"/>
      <c r="I20" s="12"/>
      <c r="J20" s="12"/>
      <c r="K20" s="16"/>
      <c r="L20" s="7"/>
      <c r="M20" s="6" t="s">
        <v>1470</v>
      </c>
      <c r="N20" s="29" t="str">
        <f t="shared" ref="N20:N22" si="2">_xlfn.IFS(M20="integer","integer",M20="number","number",M20="boolean","boolean",TRUE,"string")</f>
        <v>string</v>
      </c>
      <c r="O20" s="29" t="str">
        <f t="shared" ref="O20:O22" si="3">_xlfn.IFS(M20="date","date",M20="markdown","markdown",M20="time", "time",M20="uri","uri",M20="uuid","uuid",TRUE,"")</f>
        <v>date</v>
      </c>
      <c r="P20" s="29"/>
      <c r="Q20" s="19"/>
      <c r="R20" s="19"/>
      <c r="S20" s="12"/>
      <c r="T20" s="12"/>
      <c r="U20" s="12" t="s">
        <v>1540</v>
      </c>
      <c r="V20" s="12" t="s">
        <v>1541</v>
      </c>
      <c r="W20" s="12"/>
      <c r="X20" s="12"/>
      <c r="Y20" s="12"/>
      <c r="Z20" s="12"/>
      <c r="AA20" s="12"/>
      <c r="AB20" s="12"/>
      <c r="AC20" s="12"/>
    </row>
    <row r="21" spans="1:29">
      <c r="A21" s="48"/>
      <c r="B21" s="48"/>
      <c r="C21" s="3" t="s">
        <v>1404</v>
      </c>
      <c r="D21" s="18" t="s">
        <v>1521</v>
      </c>
      <c r="E21" s="19"/>
      <c r="F21" s="15" t="s">
        <v>1141</v>
      </c>
      <c r="G21" s="15" t="s">
        <v>1142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/>
      <c r="T21" s="12"/>
      <c r="U21" s="12" t="s">
        <v>1471</v>
      </c>
      <c r="V21" s="12" t="s">
        <v>1473</v>
      </c>
      <c r="W21" s="12"/>
      <c r="X21" s="12"/>
      <c r="Y21" s="12"/>
      <c r="Z21" s="12"/>
      <c r="AA21" s="12"/>
      <c r="AB21" s="12"/>
      <c r="AC21" s="12"/>
    </row>
    <row r="22" spans="1:29">
      <c r="A22" s="48"/>
      <c r="B22" s="48"/>
      <c r="C22" s="3" t="s">
        <v>1404</v>
      </c>
      <c r="D22" s="18" t="s">
        <v>1522</v>
      </c>
      <c r="E22" s="19"/>
      <c r="F22" s="15" t="s">
        <v>1523</v>
      </c>
      <c r="G22" s="15" t="s">
        <v>1524</v>
      </c>
      <c r="H22" s="12"/>
      <c r="I22" s="12"/>
      <c r="J22" s="12"/>
      <c r="K22" s="16"/>
      <c r="L22" s="7"/>
      <c r="M22" s="6" t="s">
        <v>4</v>
      </c>
      <c r="N22" s="29" t="str">
        <f t="shared" si="2"/>
        <v>string</v>
      </c>
      <c r="O22" s="29" t="str">
        <f t="shared" si="3"/>
        <v/>
      </c>
      <c r="P22" s="29"/>
      <c r="Q22" s="19"/>
      <c r="R22" s="19"/>
      <c r="S22" s="12"/>
      <c r="T22" s="12"/>
      <c r="U22" s="12" t="s">
        <v>1472</v>
      </c>
      <c r="V22" s="12" t="s">
        <v>1474</v>
      </c>
      <c r="W22" s="12"/>
      <c r="X22" s="12"/>
      <c r="Y22" s="12"/>
      <c r="Z22" s="12"/>
      <c r="AA22" s="12"/>
      <c r="AB22" s="12"/>
      <c r="AC22" s="12"/>
    </row>
    <row r="23" spans="1:29">
      <c r="A23" s="48"/>
      <c r="B23" s="48"/>
      <c r="C23" s="3" t="s">
        <v>44</v>
      </c>
      <c r="D23" s="18"/>
      <c r="E23" s="19"/>
      <c r="F23" s="15"/>
      <c r="G23" s="15"/>
      <c r="H23" s="12"/>
      <c r="I23" s="12"/>
      <c r="J23" s="12"/>
      <c r="K23" s="16"/>
      <c r="L23" s="7"/>
      <c r="M23" s="6" t="s">
        <v>4</v>
      </c>
      <c r="N23" s="29" t="str">
        <f t="shared" ref="N23" si="4">_xlfn.IFS(M23="integer","integer",M23="number","number",M23="boolean","boolean",TRUE,"string")</f>
        <v>string</v>
      </c>
      <c r="O23" s="29" t="str">
        <f t="shared" ref="O23" si="5">_xlfn.IFS(M23="date","date",M23="markdown","markdown",M23="time", "time",M23="uri","uri",M23="uuid","uuid",TRUE,"")</f>
        <v/>
      </c>
      <c r="P23" s="29" t="str">
        <f t="shared" ref="P23" si="6">_xlfn.IFS(M23="textarea","textarea",TRUE,"")</f>
        <v/>
      </c>
      <c r="Q23" s="19"/>
      <c r="R23" s="19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52" t="s">
        <v>1379</v>
      </c>
      <c r="B24" s="48" t="s">
        <v>79</v>
      </c>
      <c r="C24" s="3" t="s">
        <v>44</v>
      </c>
      <c r="D24" s="15" t="s">
        <v>34</v>
      </c>
      <c r="E24" s="19"/>
      <c r="F24" s="15" t="s">
        <v>1432</v>
      </c>
      <c r="G24" s="15" t="s">
        <v>1433</v>
      </c>
      <c r="H24" s="12"/>
      <c r="I24" s="12"/>
      <c r="J24" s="19"/>
      <c r="K24" s="1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>
      <c r="A25" s="53"/>
      <c r="B25" s="48"/>
      <c r="C25" s="3" t="s">
        <v>44</v>
      </c>
      <c r="D25" s="15" t="s">
        <v>35</v>
      </c>
      <c r="E25" s="19"/>
      <c r="F25" s="15" t="s">
        <v>1434</v>
      </c>
      <c r="G25" s="15" t="s">
        <v>1435</v>
      </c>
      <c r="H25" s="12"/>
      <c r="I25" s="12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>
      <c r="A26" s="53"/>
      <c r="B26" s="48"/>
      <c r="C26" s="3" t="s">
        <v>44</v>
      </c>
      <c r="D26" s="15" t="s">
        <v>36</v>
      </c>
      <c r="E26" s="19"/>
      <c r="F26" s="15" t="s">
        <v>1436</v>
      </c>
      <c r="G26" s="15" t="s">
        <v>1437</v>
      </c>
      <c r="H26" s="12"/>
      <c r="I26" s="12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>
      <c r="A27" s="53"/>
      <c r="B27" s="48"/>
      <c r="C27" s="3" t="s">
        <v>44</v>
      </c>
      <c r="D27" s="15" t="s">
        <v>37</v>
      </c>
      <c r="E27" s="19"/>
      <c r="F27" s="15" t="s">
        <v>1438</v>
      </c>
      <c r="G27" s="15" t="s">
        <v>1439</v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>
      <c r="A28" s="53"/>
      <c r="B28" s="48"/>
      <c r="C28" s="3" t="s">
        <v>44</v>
      </c>
      <c r="D28" s="15" t="s">
        <v>38</v>
      </c>
      <c r="E28" s="19"/>
      <c r="F28" s="15" t="s">
        <v>1440</v>
      </c>
      <c r="G28" s="15" t="s">
        <v>1441</v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53"/>
      <c r="B29" s="48"/>
      <c r="C29" s="3" t="s">
        <v>44</v>
      </c>
      <c r="D29" s="15" t="s">
        <v>39</v>
      </c>
      <c r="E29" s="19"/>
      <c r="F29" s="15" t="s">
        <v>1442</v>
      </c>
      <c r="G29" s="15" t="s">
        <v>1443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54"/>
      <c r="B30" s="48"/>
      <c r="C30" s="3" t="s">
        <v>44</v>
      </c>
      <c r="D30" s="15" t="s">
        <v>16</v>
      </c>
      <c r="E30" s="19"/>
      <c r="F30" s="15" t="s">
        <v>1444</v>
      </c>
      <c r="G30" s="15" t="s">
        <v>1445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52" t="s">
        <v>1380</v>
      </c>
      <c r="B31" s="48" t="s">
        <v>40</v>
      </c>
      <c r="C31" s="3" t="s">
        <v>44</v>
      </c>
      <c r="D31" s="18" t="str">
        <f>IFERROR(INDEX(sample.general_sample_term!A:H,MATCH($E31,sample.general_sample_term!C:C,FALSE),2),"")</f>
        <v>sample.general.general-name</v>
      </c>
      <c r="E31" s="14" t="s">
        <v>1274</v>
      </c>
      <c r="F31" s="18" t="str">
        <f>IFERROR(INDEX(sample.general_sample_term!A:H,MATCH($E31,sample.general_sample_term!C:C,FALSE),3),"")</f>
        <v>一般名称</v>
      </c>
      <c r="G31" s="18" t="str">
        <f>IFERROR(INDEX(sample.general_sample_term!A:H,MATCH($E31,sample.general_sample_term!C:C,FALSE),4),"")</f>
        <v>General name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8" t="str">
        <f>IFERROR(INDEX(sample.general_sample_term!A:H,MATCH($E31,sample.general_sample_term!C:C,FALSE),5),"")</f>
        <v>一般名称を入力してください</v>
      </c>
      <c r="V31" s="18" t="str">
        <f>IFERROR(INDEX(sample.general_sample_term!A:H,MATCH($E31,sample.general_sample_term!C:C,FALSE),6),"")</f>
        <v>Please enter General name</v>
      </c>
      <c r="W31" s="19"/>
      <c r="X31" s="19"/>
      <c r="Y31" s="19"/>
      <c r="Z31" s="19"/>
      <c r="AA31" s="19"/>
      <c r="AB31" s="19"/>
      <c r="AC31" s="19"/>
    </row>
    <row r="32" spans="1:29">
      <c r="A32" s="53"/>
      <c r="B32" s="48"/>
      <c r="C32" s="3" t="s">
        <v>44</v>
      </c>
      <c r="D32" s="18" t="str">
        <f>IFERROR(INDEX(sample.general_sample_term!A:H,MATCH($E32,sample.general_sample_term!C:C,FALSE),2),"")</f>
        <v/>
      </c>
      <c r="E32" s="14"/>
      <c r="F32" s="18" t="str">
        <f>IFERROR(INDEX(sample.general_sample_term!A:H,MATCH($E32,sample.general_sample_term!C:C,FALSE),3),"")</f>
        <v/>
      </c>
      <c r="G32" s="18" t="str">
        <f>IFERROR(INDEX(sample.general_sample_term!A:H,MATCH($E32,sample.general_sample_term!C:C,FALSE),4),"")</f>
        <v/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8" t="str">
        <f>IFERROR(INDEX(sample.general_sample_term!A:H,MATCH($E32,sample.general_sample_term!C:C,FALSE),5),"")</f>
        <v/>
      </c>
      <c r="V32" s="18" t="str">
        <f>IFERROR(INDEX(sample.general_sample_term!A:H,MATCH($E32,sample.general_sample_term!C:C,FALSE),6),"")</f>
        <v/>
      </c>
      <c r="W32" s="19"/>
      <c r="X32" s="19"/>
      <c r="Y32" s="19"/>
      <c r="Z32" s="19"/>
      <c r="AA32" s="19"/>
      <c r="AB32" s="19"/>
      <c r="AC32" s="19"/>
    </row>
    <row r="33" spans="1:29">
      <c r="A33" s="53"/>
      <c r="B33" s="48"/>
      <c r="C33" s="3" t="s">
        <v>44</v>
      </c>
      <c r="D33" s="18" t="str">
        <f>IFERROR(INDEX(sample.general_sample_term!A:H,MATCH($E33,sample.general_sample_term!C:C,FALSE),2),"")</f>
        <v/>
      </c>
      <c r="E33" s="14"/>
      <c r="F33" s="18" t="str">
        <f>IFERROR(INDEX(sample.general_sample_term!A:H,MATCH($E33,sample.general_sample_term!C:C,FALSE),3),"")</f>
        <v/>
      </c>
      <c r="G33" s="18" t="str">
        <f>IFERROR(INDEX(sample.general_sample_term!A:H,MATCH($E33,sample.general_sample_term!C:C,FALSE),4),"")</f>
        <v/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IFERROR(INDEX(sample.general_sample_term!A:H,MATCH($E33,sample.general_sample_term!C:C,FALSE),5),"")</f>
        <v/>
      </c>
      <c r="V33" s="18" t="str">
        <f>IFERROR(INDEX(sample.general_sample_term!A:H,MATCH($E33,sample.general_sample_term!C:C,FALSE),6),"")</f>
        <v/>
      </c>
      <c r="W33" s="19"/>
      <c r="X33" s="19"/>
      <c r="Y33" s="19"/>
      <c r="Z33" s="19"/>
      <c r="AA33" s="19"/>
      <c r="AB33" s="19"/>
      <c r="AC33" s="19"/>
    </row>
    <row r="34" spans="1:29">
      <c r="A34" s="53"/>
      <c r="B34" s="48"/>
      <c r="C34" s="3" t="s">
        <v>44</v>
      </c>
      <c r="D34" s="18" t="str">
        <f>IFERROR(INDEX(sample.general_sample_term!A:H,MATCH($E34,sample.general_sample_term!C:C,FALSE),2),"")</f>
        <v/>
      </c>
      <c r="E34" s="14"/>
      <c r="F34" s="18" t="str">
        <f>IFERROR(INDEX(sample.general_sample_term!A:H,MATCH($E34,sample.general_sample_term!C:C,FALSE),3),"")</f>
        <v/>
      </c>
      <c r="G34" s="18" t="str">
        <f>IFERROR(INDEX(sample.general_sample_term!A:H,MATCH($E34,sample.general_sample_term!C:C,FALSE),4),"")</f>
        <v/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IFERROR(INDEX(sample.general_sample_term!A:H,MATCH($E34,sample.general_sample_term!C:C,FALSE),5),"")</f>
        <v/>
      </c>
      <c r="V34" s="18" t="str">
        <f>IFERROR(INDEX(sample.general_sample_term!A:H,MATCH($E34,sample.general_sample_term!C:C,FALSE),6),"")</f>
        <v/>
      </c>
      <c r="W34" s="19"/>
      <c r="X34" s="19"/>
      <c r="Y34" s="19"/>
      <c r="Z34" s="19"/>
      <c r="AA34" s="19"/>
      <c r="AB34" s="19"/>
      <c r="AC34" s="19"/>
    </row>
    <row r="35" spans="1:29">
      <c r="A35" s="53"/>
      <c r="B35" s="48"/>
      <c r="C35" s="3" t="s">
        <v>44</v>
      </c>
      <c r="D35" s="18" t="str">
        <f>IFERROR(INDEX(sample.general_sample_term!A:H,MATCH($E35,sample.general_sample_term!C:C,FALSE),2),"")</f>
        <v/>
      </c>
      <c r="E35" s="14"/>
      <c r="F35" s="18" t="str">
        <f>IFERROR(INDEX(sample.general_sample_term!A:H,MATCH($E35,sample.general_sample_term!C:C,FALSE),3),"")</f>
        <v/>
      </c>
      <c r="G35" s="18" t="str">
        <f>IFERROR(INDEX(sample.general_sample_term!A:H,MATCH($E35,sample.general_sample_term!C:C,FALSE),4),"")</f>
        <v/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IFERROR(INDEX(sample.general_sample_term!A:H,MATCH($E35,sample.general_sample_term!C:C,FALSE),5),"")</f>
        <v/>
      </c>
      <c r="V35" s="18" t="str">
        <f>IFERROR(INDEX(sample.general_sample_term!A:H,MATCH($E35,sample.general_sample_term!C:C,FALSE),6),"")</f>
        <v/>
      </c>
      <c r="W35" s="19"/>
      <c r="X35" s="19"/>
      <c r="Y35" s="19"/>
      <c r="Z35" s="19"/>
      <c r="AA35" s="19"/>
      <c r="AB35" s="19"/>
      <c r="AC35" s="19"/>
    </row>
    <row r="36" spans="1:29">
      <c r="A36" s="53"/>
      <c r="B36" s="48"/>
      <c r="C36" s="3" t="s">
        <v>44</v>
      </c>
      <c r="D36" s="18" t="str">
        <f>IFERROR(INDEX(sample.general_sample_term!A:H,MATCH($E36,sample.general_sample_term!C:C,FALSE),2),"")</f>
        <v/>
      </c>
      <c r="E36" s="14"/>
      <c r="F36" s="18" t="str">
        <f>IFERROR(INDEX(sample.general_sample_term!A:H,MATCH($E36,sample.general_sample_term!C:C,FALSE),3),"")</f>
        <v/>
      </c>
      <c r="G36" s="18" t="str">
        <f>IFERROR(INDEX(sample.general_sample_term!A:H,MATCH($E36,sample.general_sample_term!C:C,FALSE),4),"")</f>
        <v/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IFERROR(INDEX(sample.general_sample_term!A:H,MATCH($E36,sample.general_sample_term!C:C,FALSE),5),"")</f>
        <v/>
      </c>
      <c r="V36" s="18" t="str">
        <f>IFERROR(INDEX(sample.general_sample_term!A:H,MATCH($E36,sample.general_sample_term!C:C,FALSE),6),"")</f>
        <v/>
      </c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44</v>
      </c>
      <c r="D37" s="18" t="str">
        <f>IFERROR(INDEX(sample.general_sample_term!A:H,MATCH($E37,sample.general_sample_term!C:C,FALSE),2),"")</f>
        <v/>
      </c>
      <c r="E37" s="14"/>
      <c r="F37" s="18" t="str">
        <f>IFERROR(INDEX(sample.general_sample_term!A:H,MATCH($E37,sample.general_sample_term!C:C,FALSE),3),"")</f>
        <v/>
      </c>
      <c r="G37" s="18" t="str">
        <f>IFERROR(INDEX(sample.general_sample_term!A:H,MATCH($E37,sample.general_sample_term!C:C,FALSE),4),"")</f>
        <v/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IFERROR(INDEX(sample.general_sample_term!A:H,MATCH($E37,sample.general_sample_term!C:C,FALSE),5),"")</f>
        <v/>
      </c>
      <c r="V37" s="18" t="str">
        <f>IFERROR(INDEX(sample.general_sample_term!A:H,MATCH($E37,sample.general_sample_term!C:C,FALSE),6),"")</f>
        <v/>
      </c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44</v>
      </c>
      <c r="D38" s="18" t="str">
        <f>IFERROR(INDEX(sample.general_sample_term!A:H,MATCH($E38,sample.general_sample_term!C:C,FALSE),2),"")</f>
        <v/>
      </c>
      <c r="E38" s="14"/>
      <c r="F38" s="18" t="str">
        <f>IFERROR(INDEX(sample.general_sample_term!A:H,MATCH($E38,sample.general_sample_term!C:C,FALSE),3),"")</f>
        <v/>
      </c>
      <c r="G38" s="18" t="str">
        <f>IFERROR(INDEX(sample.general_sample_term!A:H,MATCH($E38,sample.general_sample_term!C:C,FALSE),4),"")</f>
        <v/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IFERROR(INDEX(sample.general_sample_term!A:H,MATCH($E38,sample.general_sample_term!C:C,FALSE),5),"")</f>
        <v/>
      </c>
      <c r="V38" s="18" t="str">
        <f>IFERROR(INDEX(sample.general_sample_term!A:H,MATCH($E38,sample.general_sample_term!C:C,FALSE),6),"")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54"/>
      <c r="B39" s="48"/>
      <c r="C39" s="3" t="s">
        <v>44</v>
      </c>
      <c r="D39" s="18" t="str">
        <f>IFERROR(INDEX(sample.general_sample_term!A:H,MATCH($E39,sample.general_sample_term!C:C,FALSE),2),"")</f>
        <v/>
      </c>
      <c r="E39" s="14"/>
      <c r="F39" s="18" t="str">
        <f>IFERROR(INDEX(sample.general_sample_term!A:H,MATCH($E39,sample.general_sample_term!C:C,FALSE),3),"")</f>
        <v/>
      </c>
      <c r="G39" s="18" t="str">
        <f>IFERROR(INDEX(sample.general_sample_term!A:H,MATCH($E39,sample.general_sample_term!C:C,FALSE),4),"")</f>
        <v/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IFERROR(INDEX(sample.general_sample_term!A:H,MATCH($E39,sample.general_sample_term!C:C,FALSE),5),"")</f>
        <v/>
      </c>
      <c r="V39" s="18" t="str">
        <f>IFERROR(INDEX(sample.general_sample_term!A:H,MATCH($E39,sample.general_sample_term!C:C,FALSE),6),"")</f>
        <v/>
      </c>
      <c r="W39" s="19"/>
      <c r="X39" s="19"/>
      <c r="Y39" s="19"/>
      <c r="Z39" s="19"/>
      <c r="AA39" s="19"/>
      <c r="AB39" s="19"/>
      <c r="AC39" s="19"/>
    </row>
    <row r="40" spans="1:29">
      <c r="A40" s="52" t="s">
        <v>1381</v>
      </c>
      <c r="B40" s="48" t="s">
        <v>41</v>
      </c>
      <c r="C40" s="3" t="s">
        <v>44</v>
      </c>
      <c r="D40" s="18" t="str">
        <f>IFERROR(INDEX(sample.specific_sample_term!A:M,MATCH($E40,sample.specific_sample_term!L:L,FALSE),3),"")</f>
        <v/>
      </c>
      <c r="E40" s="14"/>
      <c r="F40" s="18" t="str">
        <f>IFERROR(INDEX(sample.specific_sample_term!A:M,MATCH($E40,sample.specific_sample_term!L:L,FALSE),12),"")</f>
        <v/>
      </c>
      <c r="G40" s="18" t="str">
        <f>IFERROR(INDEX(sample.specific_sample_term!A:M,MATCH($E40,sample.specific_sample_term!L:L,FALSE),13),"")</f>
        <v/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IFERROR(INDEX(sample.specific_sample_term!A:M,MATCH($E40,sample.specific_sample_term!L:L,FALSE),8),"")</f>
        <v/>
      </c>
      <c r="V40" s="18" t="str">
        <f>IFERROR(INDEX(sample.specific_sample_term!A:M,MATCH($E40,sample.specific_sample_term!L:L,FALSE),9),"")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53"/>
      <c r="B41" s="48"/>
      <c r="C41" s="3" t="s">
        <v>44</v>
      </c>
      <c r="D41" s="18" t="str">
        <f>IFERROR(INDEX(sample.specific_sample_term!A:M,MATCH($E41,sample.specific_sample_term!L:L,FALSE),3),"")</f>
        <v/>
      </c>
      <c r="E41" s="14"/>
      <c r="F41" s="18" t="str">
        <f>IFERROR(INDEX(sample.specific_sample_term!A:M,MATCH($E41,sample.specific_sample_term!L:L,FALSE),12),"")</f>
        <v/>
      </c>
      <c r="G41" s="18" t="str">
        <f>IFERROR(INDEX(sample.specific_sample_term!A:M,MATCH($E41,sample.specific_sample_term!L:L,FALSE),13),"")</f>
        <v/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IFERROR(INDEX(sample.specific_sample_term!A:M,MATCH($E41,sample.specific_sample_term!L:L,FALSE),8),"")</f>
        <v/>
      </c>
      <c r="V41" s="18" t="str">
        <f>IFERROR(INDEX(sample.specific_sample_term!A:M,MATCH($E41,sample.specific_sample_term!L:L,FALSE),9),"")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53"/>
      <c r="B42" s="48"/>
      <c r="C42" s="3" t="s">
        <v>44</v>
      </c>
      <c r="D42" s="18" t="str">
        <f>IFERROR(INDEX(sample.specific_sample_term!A:M,MATCH($E42,sample.specific_sample_term!L:L,FALSE),3),"")</f>
        <v/>
      </c>
      <c r="E42" s="14"/>
      <c r="F42" s="18" t="str">
        <f>IFERROR(INDEX(sample.specific_sample_term!A:M,MATCH($E42,sample.specific_sample_term!L:L,FALSE),12),"")</f>
        <v/>
      </c>
      <c r="G42" s="18" t="str">
        <f>IFERROR(INDEX(sample.specific_sample_term!A:M,MATCH($E42,sample.specific_sample_term!L:L,FALSE),13),"")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IFERROR(INDEX(sample.specific_sample_term!A:M,MATCH($E42,sample.specific_sample_term!L:L,FALSE),8),"")</f>
        <v/>
      </c>
      <c r="V42" s="18" t="str">
        <f>IFERROR(INDEX(sample.specific_sample_term!A:M,MATCH($E42,sample.specific_sample_term!L:L,FALSE),9),"")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53"/>
      <c r="B43" s="48"/>
      <c r="C43" s="3" t="s">
        <v>44</v>
      </c>
      <c r="D43" s="18" t="str">
        <f>IFERROR(INDEX(sample.specific_sample_term!A:M,MATCH($E43,sample.specific_sample_term!L:L,FALSE),3),"")</f>
        <v/>
      </c>
      <c r="E43" s="14"/>
      <c r="F43" s="18" t="str">
        <f>IFERROR(INDEX(sample.specific_sample_term!A:M,MATCH($E43,sample.specific_sample_term!L:L,FALSE),12),"")</f>
        <v/>
      </c>
      <c r="G43" s="18" t="str">
        <f>IFERROR(INDEX(sample.specific_sample_term!A:M,MATCH($E43,sample.specific_sample_term!L:L,FALSE),13),"")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IFERROR(INDEX(sample.specific_sample_term!A:M,MATCH($E43,sample.specific_sample_term!L:L,FALSE),8),"")</f>
        <v/>
      </c>
      <c r="V43" s="18" t="str">
        <f>IFERROR(INDEX(sample.specific_sample_term!A:M,MATCH($E43,sample.specific_sample_term!L:L,FALSE),9),"")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53"/>
      <c r="B44" s="48"/>
      <c r="C44" s="3" t="s">
        <v>44</v>
      </c>
      <c r="D44" s="18" t="str">
        <f>IFERROR(INDEX(sample.specific_sample_term!A:M,MATCH($E44,sample.specific_sample_term!L:L,FALSE),3),"")</f>
        <v/>
      </c>
      <c r="E44" s="14"/>
      <c r="F44" s="18" t="str">
        <f>IFERROR(INDEX(sample.specific_sample_term!A:M,MATCH($E44,sample.specific_sample_term!L:L,FALSE),12),"")</f>
        <v/>
      </c>
      <c r="G44" s="18" t="str">
        <f>IFERROR(INDEX(sample.specific_sample_term!A:M,MATCH($E44,sample.specific_sample_term!L:L,FALSE),13),"")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IFERROR(INDEX(sample.specific_sample_term!A:M,MATCH($E44,sample.specific_sample_term!L:L,FALSE),8),"")</f>
        <v/>
      </c>
      <c r="V44" s="18" t="str">
        <f>IFERROR(INDEX(sample.specific_sample_term!A:M,MATCH($E44,sample.specific_sample_term!L:L,FALSE),9),"")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53"/>
      <c r="B45" s="48"/>
      <c r="C45" s="3" t="s">
        <v>44</v>
      </c>
      <c r="D45" s="18" t="str">
        <f>IFERROR(INDEX(sample.specific_sample_term!A:M,MATCH($E45,sample.specific_sample_term!L:L,FALSE),3),"")</f>
        <v/>
      </c>
      <c r="E45" s="14"/>
      <c r="F45" s="18" t="str">
        <f>IFERROR(INDEX(sample.specific_sample_term!A:M,MATCH($E45,sample.specific_sample_term!L:L,FALSE),12),"")</f>
        <v/>
      </c>
      <c r="G45" s="18" t="str">
        <f>IFERROR(INDEX(sample.specific_sample_term!A:M,MATCH($E45,sample.specific_sample_term!L:L,FALSE),13),"")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IFERROR(INDEX(sample.specific_sample_term!A:M,MATCH($E45,sample.specific_sample_term!L:L,FALSE),8),"")</f>
        <v/>
      </c>
      <c r="V45" s="18" t="str">
        <f>IFERROR(INDEX(sample.specific_sample_term!A:M,MATCH($E45,sample.specific_sample_term!L:L,FALSE),9),"")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53"/>
      <c r="B46" s="48"/>
      <c r="C46" s="3" t="s">
        <v>44</v>
      </c>
      <c r="D46" s="18" t="str">
        <f>IFERROR(INDEX(sample.specific_sample_term!A:M,MATCH($E46,sample.specific_sample_term!L:L,FALSE),3),"")</f>
        <v/>
      </c>
      <c r="E46" s="14"/>
      <c r="F46" s="18" t="str">
        <f>IFERROR(INDEX(sample.specific_sample_term!A:M,MATCH($E46,sample.specific_sample_term!L:L,FALSE),12),"")</f>
        <v/>
      </c>
      <c r="G46" s="18" t="str">
        <f>IFERROR(INDEX(sample.specific_sample_term!A:M,MATCH($E46,sample.specific_sample_term!L:L,FALSE),13),"")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IFERROR(INDEX(sample.specific_sample_term!A:M,MATCH($E46,sample.specific_sample_term!L:L,FALSE),8),"")</f>
        <v/>
      </c>
      <c r="V46" s="18" t="str">
        <f>IFERROR(INDEX(sample.specific_sample_term!A:M,MATCH($E46,sample.specific_sample_term!L:L,FALSE),9),"")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53"/>
      <c r="B47" s="48"/>
      <c r="C47" s="3" t="s">
        <v>44</v>
      </c>
      <c r="D47" s="18" t="str">
        <f>IFERROR(INDEX(sample.specific_sample_term!A:M,MATCH($E47,sample.specific_sample_term!L:L,FALSE),3),"")</f>
        <v/>
      </c>
      <c r="E47" s="14"/>
      <c r="F47" s="18" t="str">
        <f>IFERROR(INDEX(sample.specific_sample_term!A:M,MATCH($E47,sample.specific_sample_term!L:L,FALSE),12),"")</f>
        <v/>
      </c>
      <c r="G47" s="18" t="str">
        <f>IFERROR(INDEX(sample.specific_sample_term!A:M,MATCH($E47,sample.specific_sample_term!L:L,FALSE),13),"")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IFERROR(INDEX(sample.specific_sample_term!A:M,MATCH($E47,sample.specific_sample_term!L:L,FALSE),8),"")</f>
        <v/>
      </c>
      <c r="V47" s="18" t="str">
        <f>IFERROR(INDEX(sample.specific_sample_term!A:M,MATCH($E47,sample.specific_sample_term!L:L,FALSE),9),"")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54"/>
      <c r="B48" s="48"/>
      <c r="C48" s="3" t="s">
        <v>44</v>
      </c>
      <c r="D48" s="18" t="str">
        <f>IFERROR(INDEX(sample.specific_sample_term!A:M,MATCH($E48,sample.specific_sample_term!L:L,FALSE),3),"")</f>
        <v/>
      </c>
      <c r="E48" s="14"/>
      <c r="F48" s="18" t="str">
        <f>IFERROR(INDEX(sample.specific_sample_term!A:M,MATCH($E48,sample.specific_sample_term!L:L,FALSE),12),"")</f>
        <v/>
      </c>
      <c r="G48" s="18" t="str">
        <f>IFERROR(INDEX(sample.specific_sample_term!A:M,MATCH($E48,sample.specific_sample_term!L:L,FALSE),13),"")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IFERROR(INDEX(sample.specific_sample_term!A:M,MATCH($E48,sample.specific_sample_term!L:L,FALSE),8),"")</f>
        <v/>
      </c>
      <c r="V48" s="18" t="str">
        <f>IFERROR(INDEX(sample.specific_sample_term!A:M,MATCH($E48,sample.specific_sample_term!L:L,FALSE),9),"")</f>
        <v/>
      </c>
      <c r="W48" s="19"/>
      <c r="X48" s="19"/>
      <c r="Y48" s="19"/>
      <c r="Z48" s="19"/>
      <c r="AA48" s="19"/>
      <c r="AB48" s="19"/>
      <c r="AC48" s="19"/>
    </row>
  </sheetData>
  <mergeCells count="11">
    <mergeCell ref="B40:B48"/>
    <mergeCell ref="B7:B23"/>
    <mergeCell ref="A24:A30"/>
    <mergeCell ref="A31:A39"/>
    <mergeCell ref="A40:A48"/>
    <mergeCell ref="B1:E1"/>
    <mergeCell ref="B3:E3"/>
    <mergeCell ref="A7:A23"/>
    <mergeCell ref="B31:B39"/>
    <mergeCell ref="B24:B30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48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E31:E48">
    <cfRule type="expression" dxfId="18" priority="17">
      <formula>AND($C31="ON",ISBLANK(E31))</formula>
    </cfRule>
  </conditionalFormatting>
  <conditionalFormatting sqref="M7:M23 F7:G30 D24:D30">
    <cfRule type="expression" dxfId="17" priority="3">
      <formula>AND($C7="ON",ISBLANK(D7))</formula>
    </cfRule>
  </conditionalFormatting>
  <conditionalFormatting sqref="N7:O23">
    <cfRule type="cellIs" dxfId="16" priority="16" operator="equal">
      <formula>"ON"</formula>
    </cfRule>
  </conditionalFormatting>
  <conditionalFormatting sqref="Q7:Q23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23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23" xr:uid="{2D4AA448-C361-40D4-AD5E-FB8A11DF009A}">
      <formula1>"　,TRUE"</formula1>
    </dataValidation>
    <dataValidation type="list" allowBlank="1" showInputMessage="1" showErrorMessage="1" sqref="M7:M23" xr:uid="{5FE6F0C0-307E-46F0-BDAA-579DADBA61A0}">
      <formula1>"string,textarea,number,integer,list,date,markdown,time,boolean,uri,uuid"</formula1>
    </dataValidation>
    <dataValidation type="list" allowBlank="1" showInputMessage="1" showErrorMessage="1" sqref="C7:C48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E31:E39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E40:E48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https://rde.nims.go.jp/rde/dataset-templates/RDEDatasetTemplateSheet_RDE_PEAK_SEPARATION/catalog.schema.json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標準データセットテンプレートRDE_PEAK_SEPARATION用RDEデータセットテンプレート: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RDEDatasetTemplateSheet_RDE_PEAK_SEPARATION:データカタログ定義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RDEDatasetTemplateSheet_RDE_PEAK_SEPARATION:data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